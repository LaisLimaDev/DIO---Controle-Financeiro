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Planilha2" sheetId="2" r:id="rId5"/>
  </sheets>
  <definedNames>
    <definedName name="_xlchart.1">Planilha1!$B$37:$B$43</definedName>
    <definedName name="aporte">Planilha1!$D$18</definedName>
    <definedName name="_xlchart.4">Planilha1!$D$36</definedName>
    <definedName name="_xlchart.3">Planilha1!$C$37:$C$43</definedName>
    <definedName name="patrimonio">Planilha1!$D$21</definedName>
    <definedName name="_xlchart.0">Planilha1!$B$36</definedName>
    <definedName name="rendimento_carteira">Planilha1!$D$14</definedName>
    <definedName name="_xlchart.5">Planilha1!$D$37:$D$43</definedName>
    <definedName name="taxa_mensal">Planilha1!$D$20</definedName>
    <definedName name="qtd_ano">Planilha1!$D$19</definedName>
    <definedName name="_xlchart.2">Planilha1!$C$36</definedName>
  </definedNames>
  <calcPr/>
  <extLst>
    <ext uri="GoogleSheetsCustomDataVersion2">
      <go:sheetsCustomData xmlns:go="http://customooxmlschemas.google.com/" r:id="rId6" roundtripDataChecksum="YwzuNkQ7wI3xw8lOKsU/gxBuVdF+TQLB/C9NIs5xeuQ="/>
    </ext>
  </extLst>
</workbook>
</file>

<file path=xl/sharedStrings.xml><?xml version="1.0" encoding="utf-8"?>
<sst xmlns="http://schemas.openxmlformats.org/spreadsheetml/2006/main" count="71" uniqueCount="34">
  <si>
    <t>CONFIGURAÇÕES</t>
  </si>
  <si>
    <t>Salário</t>
  </si>
  <si>
    <t>Rendimento Carteira</t>
  </si>
  <si>
    <t>Sugestão de Investimento (30%)</t>
  </si>
  <si>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</si>
  <si>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</si>
  <si>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</si>
  <si>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</si>
  <si>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</si>
  <si>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</si>
  <si>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</si>
  <si>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</si>
  <si>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</si>
  <si>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</si>
  <si>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</si>
  <si>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</si>
  <si>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</si>
  <si>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</si>
  <si>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</si>
  <si>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</si>
  <si>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</si>
  <si>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</si>
  <si>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</si>
  <si>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</si>
  <si>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</si>
  <si>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</si>
  <si>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</si>
  <si>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</si>
  <si>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</si>
  <si>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CHAVE</t>
  </si>
  <si>
    <t>%</t>
  </si>
  <si>
    <t>Conservador</t>
  </si>
  <si>
    <t>Moderado-PAPEL</t>
  </si>
  <si>
    <t>Agressivo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</si>
</sst>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"/>
    <numFmt numFmtId="165" formatCode="&quot;R$&quot;\ #,##0.00;[Red]\-&quot;R$&quot;\ #,##0.00"/>
  </numFmts>
  <fonts count="18">
    <font>
      <sz val="10.0"/>
      <color rgb="FF000000"/>
      <name val="Arial"/>
      <scheme val="minor"/>
    </font>
    <font>
      <sz val="11.0"/>
      <color theme="1"/>
      <name val="Aptos Narrow"/>
    </font>
    <font>
      <b/>
      <sz val="18.0"/>
      <color rgb="FFFFFFFF"/>
      <name val="Quattrocento Sans"/>
    </font>
    <font>
      <sz val="12.0"/>
      <color theme="1"/>
      <name val="Quattrocento Sans"/>
    </font>
    <font/>
    <font>
      <sz val="11.0"/>
      <color theme="1"/>
      <name val="Quattrocento Sans"/>
    </font>
    <font>
      <b/>
      <sz val="20.0"/>
      <color rgb="FFFFFFFF"/>
      <name val="Aptos"/>
    </font>
    <font>
      <b/>
      <sz val="13.0"/>
      <color theme="1"/>
      <name val="Quattrocento Sans"/>
    </font>
    <font>
      <b/>
      <sz val="12.0"/>
      <color theme="1"/>
      <name val="Quattrocento Sans"/>
    </font>
    <font>
      <b/>
      <sz val="20.0"/>
      <color rgb="FFFFFFFF"/>
      <name val="Quattrocento Sans"/>
    </font>
    <font>
      <b/>
      <sz val="12.0"/>
      <color rgb="FFFFFFFF"/>
      <name val="Quattrocento Sans"/>
    </font>
    <font>
      <sz val="11.0"/>
      <color rgb="FFFFFFFF"/>
      <name val="Aptos Narrow"/>
    </font>
    <font>
      <sz val="11.0"/>
      <color rgb="FF9C5700"/>
      <name val="Aptos Narrow"/>
    </font>
    <font>
      <sz val="11.0"/>
      <color rgb="FF9C5700"/>
      <name val="Arial"/>
    </font>
    <font>
      <b/>
      <sz val="11.0"/>
      <color theme="1"/>
      <name val="Aptos Narrow"/>
    </font>
    <font>
      <sz val="10.0"/>
      <color rgb="FF000000"/>
      <name val="Arial"/>
    </font>
    <font>
      <sz val="11.0"/>
      <color theme="0"/>
      <name val="Aptos Narrow"/>
    </font>
    <font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196B24"/>
        <bgColor rgb="FF196B24"/>
      </patternFill>
    </fill>
    <fill>
      <patternFill patternType="solid">
        <fgColor rgb="FFD8D8D8"/>
        <bgColor rgb="FFD8D8D8"/>
      </patternFill>
    </fill>
    <fill>
      <patternFill patternType="solid">
        <fgColor rgb="FFFFEB9C"/>
        <bgColor rgb="FFFFEB9C"/>
      </patternFill>
    </fill>
    <fill>
      <patternFill patternType="solid">
        <fgColor rgb="FFAEAEAE"/>
        <bgColor rgb="FFAEAEAE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3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thin">
        <color rgb="FFA5A5A5"/>
      </bottom>
    </border>
    <border>
      <right style="thin">
        <color rgb="FFA5A5A5"/>
      </right>
      <top/>
      <bottom style="thin">
        <color rgb="FFA5A5A5"/>
      </bottom>
    </border>
    <border>
      <left style="thin">
        <color rgb="FFA5A5A5"/>
      </left>
      <right style="medium">
        <color rgb="FF000000"/>
      </right>
      <bottom style="thin">
        <color rgb="FFA5A5A5"/>
      </bottom>
    </border>
    <border>
      <left style="medium">
        <color rgb="FF000000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medium">
        <color rgb="FF000000"/>
      </right>
      <top style="thin">
        <color rgb="FFA5A5A5"/>
      </top>
      <bottom style="thin">
        <color rgb="FFA5A5A5"/>
      </bottom>
    </border>
    <border>
      <left style="medium">
        <color rgb="FF000000"/>
      </left>
      <top style="thin">
        <color rgb="FFA5A5A5"/>
      </top>
      <bottom style="medium">
        <color rgb="FF000000"/>
      </bottom>
    </border>
    <border>
      <right style="thin">
        <color rgb="FFA5A5A5"/>
      </right>
      <top style="thin">
        <color rgb="FFA5A5A5"/>
      </top>
      <bottom style="medium">
        <color rgb="FF000000"/>
      </bottom>
    </border>
    <border>
      <left style="thin">
        <color rgb="FFA5A5A5"/>
      </left>
      <right style="medium">
        <color rgb="FF000000"/>
      </right>
      <top style="thin">
        <color rgb="FFA5A5A5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D8D8D8"/>
      </bottom>
    </border>
    <border>
      <top style="thick">
        <color rgb="FF000000"/>
      </top>
      <bottom style="thin">
        <color rgb="FFD8D8D8"/>
      </bottom>
    </border>
    <border>
      <right style="thick">
        <color rgb="FF000000"/>
      </right>
      <top style="thick">
        <color rgb="FF000000"/>
      </top>
      <bottom style="thin">
        <color rgb="FFD8D8D8"/>
      </bottom>
    </border>
    <border>
      <left style="thick">
        <color rgb="FF000000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ck">
        <color rgb="FF000000"/>
      </right>
      <top style="thin">
        <color rgb="FFD8D8D8"/>
      </top>
      <bottom style="thin">
        <color rgb="FFD8D8D8"/>
      </bottom>
    </border>
    <border>
      <left style="thick">
        <color rgb="FF000000"/>
      </left>
      <top style="thin">
        <color rgb="FFD8D8D8"/>
      </top>
      <bottom style="thick">
        <color rgb="FF000000"/>
      </bottom>
    </border>
    <border>
      <right style="thin">
        <color rgb="FFD8D8D8"/>
      </right>
      <top style="thin">
        <color rgb="FFD8D8D8"/>
      </top>
      <bottom style="thick">
        <color rgb="FF000000"/>
      </bottom>
    </border>
    <border>
      <left style="thin">
        <color rgb="FFD8D8D8"/>
      </left>
      <right style="thick">
        <color rgb="FF000000"/>
      </right>
      <top style="thin">
        <color rgb="FFD8D8D8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D8D8D8"/>
      </right>
      <top/>
      <bottom style="medium">
        <color rgb="FFD8D8D8"/>
      </bottom>
    </border>
    <border>
      <left style="medium">
        <color rgb="FFD8D8D8"/>
      </left>
      <right style="medium">
        <color rgb="FFD8D8D8"/>
      </right>
      <top/>
      <bottom style="medium">
        <color rgb="FFD8D8D8"/>
      </bottom>
    </border>
    <border>
      <left style="medium">
        <color rgb="FFD8D8D8"/>
      </left>
      <right style="thick">
        <color rgb="FF000000"/>
      </right>
      <top/>
      <bottom style="medium">
        <color rgb="FFD8D8D8"/>
      </bottom>
    </border>
    <border>
      <left style="thick">
        <color rgb="FF000000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</border>
    <border>
      <left style="medium">
        <color rgb="FFD8D8D8"/>
      </left>
      <right style="thick">
        <color rgb="FF000000"/>
      </right>
      <top style="medium">
        <color rgb="FFD8D8D8"/>
      </top>
      <bottom style="medium">
        <color rgb="FFD8D8D8"/>
      </bottom>
    </border>
    <border>
      <left style="thick">
        <color rgb="FF000000"/>
      </left>
      <right style="medium">
        <color rgb="FFD8D8D8"/>
      </right>
      <top style="medium">
        <color rgb="FFD8D8D8"/>
      </top>
      <bottom style="thick">
        <color rgb="FF000000"/>
      </bottom>
    </border>
    <border>
      <left style="medium">
        <color rgb="FFD8D8D8"/>
      </left>
      <right style="medium">
        <color rgb="FFD8D8D8"/>
      </right>
      <top style="medium">
        <color rgb="FFD8D8D8"/>
      </top>
      <bottom style="thick">
        <color rgb="FF000000"/>
      </bottom>
    </border>
    <border>
      <left style="medium">
        <color rgb="FFD8D8D8"/>
      </left>
      <right style="thick">
        <color rgb="FF000000"/>
      </right>
      <top style="medium">
        <color rgb="FFD8D8D8"/>
      </top>
      <bottom style="thick">
        <color rgb="FF000000"/>
      </bottom>
    </border>
    <border>
      <left/>
      <right/>
      <top/>
      <bottom/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4" fillId="3" fontId="3" numFmtId="0" xfId="0" applyAlignment="1" applyBorder="1" applyFill="1" applyFont="1">
      <alignment horizontal="left"/>
    </xf>
    <xf borderId="5" fillId="0" fontId="4" numFmtId="0" xfId="0" applyBorder="1" applyFont="1"/>
    <xf borderId="6" fillId="0" fontId="5" numFmtId="164" xfId="0" applyAlignment="1" applyBorder="1" applyFont="1" applyNumberFormat="1">
      <alignment horizontal="left"/>
    </xf>
    <xf borderId="7" fillId="3" fontId="3" numFmtId="0" xfId="0" applyAlignment="1" applyBorder="1" applyFont="1">
      <alignment horizontal="left"/>
    </xf>
    <xf borderId="8" fillId="0" fontId="4" numFmtId="0" xfId="0" applyBorder="1" applyFont="1"/>
    <xf borderId="9" fillId="0" fontId="5" numFmtId="10" xfId="0" applyAlignment="1" applyBorder="1" applyFont="1" applyNumberFormat="1">
      <alignment horizontal="left"/>
    </xf>
    <xf borderId="10" fillId="3" fontId="3" numFmtId="0" xfId="0" applyAlignment="1" applyBorder="1" applyFont="1">
      <alignment horizontal="left"/>
    </xf>
    <xf borderId="11" fillId="0" fontId="4" numFmtId="0" xfId="0" applyBorder="1" applyFont="1"/>
    <xf borderId="12" fillId="3" fontId="5" numFmtId="164" xfId="0" applyAlignment="1" applyBorder="1" applyFont="1" applyNumberFormat="1">
      <alignment horizontal="left"/>
    </xf>
    <xf borderId="13" fillId="4" fontId="6" numFmtId="0" xfId="0" applyAlignment="1" applyBorder="1" applyFill="1" applyFont="1">
      <alignment horizontal="left"/>
    </xf>
    <xf borderId="14" fillId="0" fontId="4" numFmtId="0" xfId="0" applyBorder="1" applyFont="1"/>
    <xf borderId="15" fillId="0" fontId="4" numFmtId="0" xfId="0" applyBorder="1" applyFont="1"/>
    <xf borderId="16" fillId="3" fontId="3" numFmtId="0" xfId="0" applyAlignment="1" applyBorder="1" applyFont="1">
      <alignment horizontal="left"/>
    </xf>
    <xf borderId="17" fillId="0" fontId="4" numFmtId="0" xfId="0" applyBorder="1" applyFont="1"/>
    <xf borderId="18" fillId="0" fontId="7" numFmtId="164" xfId="0" applyAlignment="1" applyBorder="1" applyFont="1" applyNumberFormat="1">
      <alignment horizontal="left"/>
    </xf>
    <xf borderId="18" fillId="0" fontId="7" numFmtId="0" xfId="0" applyAlignment="1" applyBorder="1" applyFont="1">
      <alignment horizontal="left"/>
    </xf>
    <xf borderId="18" fillId="0" fontId="7" numFmtId="10" xfId="0" applyAlignment="1" applyBorder="1" applyFont="1" applyNumberFormat="1">
      <alignment horizontal="left"/>
    </xf>
    <xf borderId="16" fillId="5" fontId="8" numFmtId="0" xfId="0" applyAlignment="1" applyBorder="1" applyFill="1" applyFont="1">
      <alignment horizontal="left"/>
    </xf>
    <xf borderId="18" fillId="5" fontId="7" numFmtId="165" xfId="0" applyAlignment="1" applyBorder="1" applyFont="1" applyNumberFormat="1">
      <alignment horizontal="left"/>
    </xf>
    <xf borderId="19" fillId="5" fontId="8" numFmtId="0" xfId="0" applyAlignment="1" applyBorder="1" applyFont="1">
      <alignment horizontal="left"/>
    </xf>
    <xf borderId="20" fillId="0" fontId="4" numFmtId="0" xfId="0" applyBorder="1" applyFont="1"/>
    <xf borderId="21" fillId="5" fontId="7" numFmtId="165" xfId="0" applyAlignment="1" applyBorder="1" applyFont="1" applyNumberFormat="1">
      <alignment horizontal="left"/>
    </xf>
    <xf borderId="0" fillId="0" fontId="1" numFmtId="9" xfId="0" applyAlignment="1" applyFont="1" applyNumberFormat="1">
      <alignment horizontal="left"/>
    </xf>
    <xf borderId="22" fillId="4" fontId="9" numFmtId="0" xfId="0" applyAlignment="1" applyBorder="1" applyFont="1">
      <alignment horizontal="left"/>
    </xf>
    <xf borderId="23" fillId="0" fontId="4" numFmtId="0" xfId="0" applyBorder="1" applyFont="1"/>
    <xf borderId="24" fillId="4" fontId="10" numFmtId="0" xfId="0" applyAlignment="1" applyBorder="1" applyFont="1">
      <alignment horizontal="left"/>
    </xf>
    <xf borderId="0" fillId="0" fontId="11" numFmtId="0" xfId="0" applyAlignment="1" applyFont="1">
      <alignment horizontal="left"/>
    </xf>
    <xf borderId="25" fillId="3" fontId="3" numFmtId="0" xfId="0" applyAlignment="1" applyBorder="1" applyFont="1">
      <alignment horizontal="left"/>
    </xf>
    <xf borderId="26" fillId="3" fontId="5" numFmtId="164" xfId="0" applyAlignment="1" applyBorder="1" applyFont="1" applyNumberFormat="1">
      <alignment horizontal="left"/>
    </xf>
    <xf borderId="27" fillId="3" fontId="5" numFmtId="164" xfId="0" applyAlignment="1" applyBorder="1" applyFont="1" applyNumberFormat="1">
      <alignment horizontal="left"/>
    </xf>
    <xf borderId="28" fillId="3" fontId="3" numFmtId="0" xfId="0" applyAlignment="1" applyBorder="1" applyFont="1">
      <alignment horizontal="left"/>
    </xf>
    <xf borderId="29" fillId="3" fontId="5" numFmtId="164" xfId="0" applyAlignment="1" applyBorder="1" applyFont="1" applyNumberFormat="1">
      <alignment horizontal="left"/>
    </xf>
    <xf borderId="30" fillId="3" fontId="5" numFmtId="164" xfId="0" applyAlignment="1" applyBorder="1" applyFont="1" applyNumberFormat="1">
      <alignment horizontal="left"/>
    </xf>
    <xf borderId="31" fillId="3" fontId="3" numFmtId="0" xfId="0" applyAlignment="1" applyBorder="1" applyFont="1">
      <alignment horizontal="left"/>
    </xf>
    <xf borderId="32" fillId="3" fontId="5" numFmtId="164" xfId="0" applyAlignment="1" applyBorder="1" applyFont="1" applyNumberFormat="1">
      <alignment horizontal="left"/>
    </xf>
    <xf borderId="33" fillId="3" fontId="5" numFmtId="164" xfId="0" applyAlignment="1" applyBorder="1" applyFont="1" applyNumberFormat="1">
      <alignment horizontal="left"/>
    </xf>
    <xf borderId="34" fillId="6" fontId="12" numFmtId="0" xfId="0" applyAlignment="1" applyBorder="1" applyFill="1" applyFont="1">
      <alignment horizontal="left"/>
    </xf>
    <xf borderId="34" fillId="6" fontId="13" numFmtId="0" xfId="0" applyAlignment="1" applyBorder="1" applyFont="1">
      <alignment horizontal="left" readingOrder="0"/>
    </xf>
    <xf borderId="34" fillId="6" fontId="1" numFmtId="0" xfId="0" applyAlignment="1" applyBorder="1" applyFont="1">
      <alignment horizontal="left"/>
    </xf>
    <xf borderId="34" fillId="3" fontId="14" numFmtId="0" xfId="0" applyAlignment="1" applyBorder="1" applyFont="1">
      <alignment horizontal="left"/>
    </xf>
    <xf borderId="34" fillId="3" fontId="14" numFmtId="164" xfId="0" applyAlignment="1" applyBorder="1" applyFont="1" applyNumberFormat="1">
      <alignment horizontal="left"/>
    </xf>
    <xf borderId="34" fillId="3" fontId="1" numFmtId="0" xfId="0" applyAlignment="1" applyBorder="1" applyFont="1">
      <alignment horizontal="left"/>
    </xf>
    <xf borderId="34" fillId="7" fontId="14" numFmtId="0" xfId="0" applyAlignment="1" applyBorder="1" applyFill="1" applyFont="1">
      <alignment horizontal="left"/>
    </xf>
    <xf borderId="34" fillId="3" fontId="1" numFmtId="164" xfId="0" applyAlignment="1" applyBorder="1" applyFont="1" applyNumberFormat="1">
      <alignment horizontal="left"/>
    </xf>
    <xf borderId="34" fillId="7" fontId="1" numFmtId="0" xfId="0" applyAlignment="1" applyBorder="1" applyFont="1">
      <alignment horizontal="left"/>
    </xf>
    <xf borderId="34" fillId="7" fontId="14" numFmtId="164" xfId="0" applyAlignment="1" applyBorder="1" applyFont="1" applyNumberFormat="1">
      <alignment horizontal="left"/>
    </xf>
    <xf borderId="0" fillId="0" fontId="15" numFmtId="0" xfId="0" applyAlignment="1" applyFont="1">
      <alignment horizontal="left"/>
    </xf>
    <xf borderId="34" fillId="8" fontId="16" numFmtId="0" xfId="0" applyBorder="1" applyFill="1" applyFont="1"/>
    <xf borderId="34" fillId="8" fontId="16" numFmtId="0" xfId="0" applyAlignment="1" applyBorder="1" applyFont="1">
      <alignment horizontal="center"/>
    </xf>
    <xf borderId="0" fillId="0" fontId="17" numFmtId="0" xfId="0" applyFont="1"/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34" fillId="6" fontId="12" numFmtId="0" xfId="0" applyBorder="1" applyFont="1"/>
    <xf borderId="34" fillId="6" fontId="12" numFmtId="9" xfId="0" applyBorder="1" applyFont="1" applyNumberFormat="1"/>
    <xf borderId="35" fillId="0" fontId="1" numFmtId="0" xfId="0" applyBorder="1" applyFont="1"/>
    <xf borderId="35" fillId="0" fontId="1" numFmtId="0" xfId="0" applyAlignment="1" applyBorder="1" applyFont="1">
      <alignment horizontal="center"/>
    </xf>
    <xf borderId="35" fillId="0" fontId="1" numFmtId="9" xfId="0" applyAlignment="1" applyBorder="1" applyFont="1" applyNumberFormat="1">
      <alignment horizontal="center"/>
    </xf>
    <xf borderId="34" fillId="9" fontId="1" numFmtId="0" xfId="0" applyBorder="1" applyFill="1" applyFont="1"/>
    <xf borderId="34" fillId="9" fontId="1" numFmtId="0" xfId="0" applyAlignment="1" applyBorder="1" applyFont="1">
      <alignment horizontal="center"/>
    </xf>
    <xf borderId="34" fillId="9" fontId="1" numFmtId="9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1</xdr:row>
      <xdr:rowOff>0</xdr:rowOff>
    </xdr:from>
    <xdr:ext cx="7315200" cy="13239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5.0"/>
    <col customWidth="1" min="2" max="2" width="40.38"/>
    <col customWidth="1" min="3" max="3" width="32.38"/>
    <col customWidth="1" min="4" max="4" width="30.75"/>
    <col customWidth="1" min="5" max="5" width="7.25"/>
    <col customWidth="1" min="6" max="6" width="8.38"/>
    <col customWidth="1" min="7" max="7" width="8.0"/>
    <col customWidth="1" min="8" max="8" width="8.13"/>
    <col customWidth="1" hidden="1" min="9" max="24" width="8.63"/>
    <col customWidth="1" min="25" max="26" width="8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" t="s">
        <v>0</v>
      </c>
      <c r="C12" s="3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5" t="s">
        <v>1</v>
      </c>
      <c r="C13" s="6"/>
      <c r="D13" s="7">
        <v>2000.0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8" t="s">
        <v>2</v>
      </c>
      <c r="C14" s="9"/>
      <c r="D14" s="10">
        <v>0.006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1" t="s">
        <v>3</v>
      </c>
      <c r="C15" s="12"/>
      <c r="D15" s="13">
        <f>D13*30%</f>
        <v>600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4" t="s">
        <v>4</v>
      </c>
      <c r="C17" s="15"/>
      <c r="D17" s="1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7" t="s">
        <v>5</v>
      </c>
      <c r="C18" s="18"/>
      <c r="D18" s="19">
        <v>98.0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7" t="s">
        <v>6</v>
      </c>
      <c r="C19" s="18"/>
      <c r="D19" s="20">
        <v>5.0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7" t="s">
        <v>7</v>
      </c>
      <c r="C20" s="18"/>
      <c r="D20" s="21">
        <v>0.01079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2" t="s">
        <v>8</v>
      </c>
      <c r="C21" s="18"/>
      <c r="D21" s="23">
        <f>FV(taxa_mensal,qtd_ano*12,aporte*-1)</f>
        <v>8210.137572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4" t="s">
        <v>9</v>
      </c>
      <c r="C22" s="25"/>
      <c r="D22" s="26">
        <f>patrimonio*rendimento_carteira</f>
        <v>49.26082543</v>
      </c>
      <c r="E22" s="1"/>
      <c r="F22" s="2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8" t="s">
        <v>10</v>
      </c>
      <c r="C24" s="29"/>
      <c r="D24" s="30" t="s">
        <v>11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31">
        <v>2.0</v>
      </c>
      <c r="B25" s="32" t="s">
        <v>12</v>
      </c>
      <c r="C25" s="33">
        <f t="shared" ref="C25:C29" si="1">FV($D$20,$A25*12,$D$18*-1)</f>
        <v>2668.307475</v>
      </c>
      <c r="D25" s="34">
        <f t="shared" ref="D25:D29" si="2">C25*$D$20</f>
        <v>28.79103766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31">
        <v>5.0</v>
      </c>
      <c r="B26" s="35" t="s">
        <v>13</v>
      </c>
      <c r="C26" s="36">
        <f t="shared" si="1"/>
        <v>8210.137572</v>
      </c>
      <c r="D26" s="37">
        <f t="shared" si="2"/>
        <v>88.5873844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31">
        <v>10.0</v>
      </c>
      <c r="B27" s="35" t="s">
        <v>14</v>
      </c>
      <c r="C27" s="36">
        <f t="shared" si="1"/>
        <v>23841.85283</v>
      </c>
      <c r="D27" s="37">
        <f t="shared" si="2"/>
        <v>257.253592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31">
        <v>20.0</v>
      </c>
      <c r="B28" s="35" t="s">
        <v>15</v>
      </c>
      <c r="C28" s="36">
        <f t="shared" si="1"/>
        <v>110269.4432</v>
      </c>
      <c r="D28" s="37">
        <f t="shared" si="2"/>
        <v>1189.807292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31">
        <v>30.0</v>
      </c>
      <c r="B29" s="38" t="s">
        <v>16</v>
      </c>
      <c r="C29" s="39">
        <f t="shared" si="1"/>
        <v>423572.6262</v>
      </c>
      <c r="D29" s="40">
        <f t="shared" si="2"/>
        <v>4570.348637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41" t="s">
        <v>17</v>
      </c>
      <c r="C33" s="42" t="s">
        <v>18</v>
      </c>
      <c r="D33" s="4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44" t="s">
        <v>19</v>
      </c>
      <c r="C34" s="45">
        <f>aporte</f>
        <v>98</v>
      </c>
      <c r="D34" s="4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47" t="s">
        <v>20</v>
      </c>
      <c r="C36" s="47" t="s">
        <v>21</v>
      </c>
      <c r="D36" s="47" t="s">
        <v>22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 t="s">
        <v>23</v>
      </c>
      <c r="C37" s="27">
        <f>VLOOKUP($C$33&amp;"-"&amp;$B37,Planilha2!$A:$D,4,FALSE)</f>
        <v>0.32</v>
      </c>
      <c r="D37" s="48">
        <f t="shared" ref="D37:D42" si="3">C37*$C$34</f>
        <v>31.36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 t="s">
        <v>24</v>
      </c>
      <c r="C38" s="27">
        <f>VLOOKUP($C$33&amp;"-"&amp;$B38,Planilha2!$A:$D,4,FALSE)</f>
        <v>0.35</v>
      </c>
      <c r="D38" s="48">
        <f t="shared" si="3"/>
        <v>34.3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 t="s">
        <v>25</v>
      </c>
      <c r="C39" s="27">
        <f>VLOOKUP($C$33&amp;"-"&amp;$B39,Planilha2!$A:$D,4,FALSE)</f>
        <v>0.08</v>
      </c>
      <c r="D39" s="48">
        <f t="shared" si="3"/>
        <v>7.84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 t="s">
        <v>26</v>
      </c>
      <c r="C40" s="27">
        <f>VLOOKUP($C$33&amp;"-"&amp;$B40,Planilha2!$A:$D,4,FALSE)</f>
        <v>0.05</v>
      </c>
      <c r="D40" s="48">
        <f t="shared" si="3"/>
        <v>4.9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 t="s">
        <v>27</v>
      </c>
      <c r="C41" s="27">
        <f>VLOOKUP($C$33&amp;"-"&amp;$B41,Planilha2!$A:$D,4,FALSE)</f>
        <v>0.1</v>
      </c>
      <c r="D41" s="48">
        <f t="shared" si="3"/>
        <v>9.8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 t="s">
        <v>28</v>
      </c>
      <c r="C42" s="27">
        <f>VLOOKUP($C$33&amp;"-"&amp;$B42,Planilha2!$A:$D,4,FALSE)</f>
        <v>0.1</v>
      </c>
      <c r="D42" s="48">
        <f t="shared" si="3"/>
        <v>9.8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49"/>
      <c r="C43" s="49"/>
      <c r="D43" s="50">
        <f>SUM(D37:D42)</f>
        <v>98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ht="12.75" customHeight="1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ht="12.75" customHeight="1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ht="12.75" customHeight="1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ht="12.75" customHeight="1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ht="12.75" customHeight="1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ht="12.75" customHeight="1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ht="12.75" customHeight="1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ht="12.75" customHeight="1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ht="12.75" customHeight="1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ht="12.75" customHeight="1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ht="12.75" customHeight="1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ht="12.75" customHeight="1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ht="12.75" customHeight="1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ht="12.75" customHeight="1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ht="12.75" customHeight="1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ht="12.75" customHeigh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ht="12.75" customHeight="1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ht="12.75" customHeight="1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ht="12.75" customHeigh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ht="12.75" customHeight="1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ht="12.75" customHeight="1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ht="12.75" customHeigh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ht="12.75" customHeight="1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ht="12.75" customHeight="1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ht="12.75" customHeight="1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ht="12.75" customHeight="1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ht="12.75" customHeight="1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ht="12.75" customHeight="1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ht="12.75" customHeight="1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ht="12.75" customHeight="1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ht="12.75" customHeigh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ht="12.75" customHeight="1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ht="12.75" customHeight="1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ht="12.75" customHeigh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ht="12.75" customHeight="1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ht="12.75" customHeight="1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ht="12.75" customHeigh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ht="12.75" customHeight="1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ht="12.75" customHeight="1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ht="12.75" customHeight="1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ht="12.75" customHeight="1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ht="12.75" customHeight="1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ht="12.75" customHeight="1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ht="12.75" customHeight="1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ht="12.75" customHeight="1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ht="12.75" customHeight="1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ht="12.75" customHeight="1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ht="12.75" customHeight="1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ht="12.75" customHeight="1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ht="12.75" customHeight="1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ht="12.75" customHeight="1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ht="12.75" customHeight="1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ht="12.75" customHeight="1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ht="12.75" customHeight="1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ht="12.75" customHeight="1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ht="12.75" customHeight="1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ht="12.75" customHeight="1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ht="12.75" customHeight="1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ht="12.75" customHeight="1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ht="12.75" customHeight="1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ht="12.75" customHeigh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ht="12.75" customHeight="1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ht="12.75" customHeight="1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ht="12.75" customHeigh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ht="12.75" customHeight="1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ht="12.75" customHeight="1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ht="12.75" customHeigh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ht="12.75" customHeight="1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ht="12.75" customHeight="1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ht="12.75" customHeight="1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ht="12.75" customHeight="1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ht="12.75" customHeight="1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ht="12.75" customHeight="1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ht="12.75" customHeight="1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ht="12.75" customHeight="1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ht="12.75" customHeigh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ht="12.75" customHeight="1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ht="12.75" customHeight="1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ht="12.75" customHeigh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ht="12.75" customHeight="1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ht="12.75" customHeight="1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ht="12.75" customHeigh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ht="12.75" customHeight="1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ht="12.75" customHeight="1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ht="12.75" customHeight="1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ht="12.75" customHeight="1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ht="12.75" customHeight="1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ht="12.75" customHeight="1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ht="12.75" customHeight="1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ht="12.75" customHeight="1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ht="12.75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ht="12.75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ht="12.75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ht="12.75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ht="12.75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ht="12.75" customHeight="1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ht="12.75" customHeight="1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ht="12.75" customHeight="1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ht="12.75" customHeight="1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ht="12.75" customHeight="1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ht="12.75" customHeight="1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ht="12.75" customHeight="1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ht="12.75" customHeight="1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ht="12.75" customHeight="1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ht="12.75" customHeight="1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ht="12.75" customHeigh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ht="12.75" customHeight="1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ht="12.75" customHeight="1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ht="12.75" customHeigh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ht="12.75" customHeight="1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ht="12.75" customHeight="1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ht="12.75" customHeigh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ht="12.75" customHeight="1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ht="12.75" customHeight="1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ht="12.75" customHeight="1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ht="12.75" customHeight="1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ht="12.75" customHeight="1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ht="12.75" customHeight="1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ht="12.75" customHeight="1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ht="12.75" customHeight="1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ht="12.75" customHeigh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ht="12.75" customHeight="1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ht="12.75" customHeight="1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ht="12.75" customHeigh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ht="12.75" customHeight="1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ht="12.75" customHeight="1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ht="12.75" customHeigh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ht="12.75" customHeight="1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ht="12.75" customHeight="1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ht="12.75" customHeight="1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ht="12.75" customHeight="1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ht="12.75" customHeight="1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ht="12.75" customHeight="1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ht="12.75" customHeight="1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ht="12.75" customHeight="1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ht="12.75" customHeight="1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ht="12.75" customHeight="1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ht="12.75" customHeight="1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ht="12.75" customHeight="1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ht="12.75" customHeight="1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ht="12.75" customHeight="1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ht="12.75" customHeight="1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ht="12.75" customHeight="1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ht="12.75" customHeight="1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ht="12.75" customHeight="1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ht="12.75" customHeight="1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ht="12.75" customHeight="1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ht="12.75" customHeight="1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ht="12.75" customHeight="1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ht="12.75" customHeight="1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ht="12.75" customHeigh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ht="12.75" customHeight="1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ht="12.75" customHeight="1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ht="12.75" customHeigh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ht="12.75" customHeight="1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ht="12.75" customHeight="1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ht="12.75" customHeigh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ht="12.75" customHeight="1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ht="12.75" customHeight="1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ht="12.75" customHeight="1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ht="12.75" customHeight="1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ht="12.75" customHeight="1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ht="12.75" customHeight="1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ht="12.75" customHeight="1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ht="12.75" customHeight="1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ht="12.75" customHeight="1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ht="12.75" customHeight="1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ht="12.75" customHeight="1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2.75" customHeight="1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ht="12.75" customHeight="1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ht="12.75" customHeight="1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ht="12.75" customHeight="1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ht="12.75" customHeight="1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ht="12.75" customHeight="1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ht="12.75" customHeight="1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ht="12.75" customHeight="1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ht="12.75" customHeight="1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ht="12.75" customHeight="1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ht="12.75" customHeight="1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ht="12.75" customHeight="1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ht="12.75" customHeight="1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ht="12.75" customHeight="1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ht="12.75" customHeight="1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ht="12.75" customHeight="1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ht="12.75" customHeight="1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ht="12.75" customHeight="1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ht="12.75" customHeight="1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ht="12.75" customHeight="1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ht="12.75" customHeight="1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ht="12.75" customHeight="1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ht="12.75" customHeight="1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ht="12.75" customHeight="1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ht="12.75" customHeight="1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ht="12.75" customHeight="1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ht="12.75" customHeight="1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ht="12.75" customHeight="1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ht="12.75" customHeight="1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ht="12.75" customHeight="1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ht="12.75" customHeight="1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ht="12.75" customHeight="1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ht="12.75" customHeight="1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ht="12.75" customHeight="1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ht="12.75" customHeight="1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ht="12.75" customHeight="1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ht="12.75" customHeight="1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ht="12.75" customHeight="1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ht="12.75" customHeight="1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ht="12.75" customHeight="1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ht="12.75" customHeight="1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ht="12.75" customHeight="1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ht="12.75" customHeight="1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ht="12.75" customHeight="1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ht="12.75" customHeight="1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ht="12.75" customHeight="1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ht="12.75" customHeight="1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ht="12.75" customHeight="1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ht="12.75" customHeight="1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ht="12.75" customHeight="1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ht="12.75" customHeight="1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ht="12.75" customHeight="1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ht="12.75" customHeight="1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ht="12.75" customHeight="1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ht="12.75" customHeight="1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ht="12.75" customHeight="1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ht="12.75" customHeight="1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ht="12.75" customHeight="1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ht="12.75" customHeight="1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ht="12.75" customHeight="1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ht="12.75" customHeight="1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ht="12.75" customHeight="1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ht="12.75" customHeight="1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ht="12.75" customHeight="1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ht="12.75" customHeight="1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ht="12.75" customHeight="1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ht="12.75" customHeight="1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ht="12.75" customHeight="1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ht="12.75" customHeight="1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ht="12.75" customHeight="1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ht="12.75" customHeight="1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ht="12.75" customHeight="1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ht="12.75" customHeight="1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ht="12.75" customHeight="1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ht="12.75" customHeight="1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ht="12.75" customHeight="1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ht="12.75" customHeight="1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ht="12.75" customHeight="1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ht="12.75" customHeight="1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ht="12.75" customHeight="1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ht="12.75" customHeight="1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ht="12.75" customHeight="1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ht="12.75" customHeight="1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ht="12.75" customHeight="1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ht="12.75" customHeight="1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ht="12.75" customHeight="1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ht="12.75" customHeight="1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ht="12.75" customHeight="1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ht="12.75" customHeight="1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ht="12.75" customHeight="1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ht="12.75" customHeight="1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ht="12.75" customHeight="1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ht="12.75" customHeight="1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ht="12.75" customHeight="1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ht="12.75" customHeight="1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ht="12.75" customHeight="1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ht="12.75" customHeight="1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ht="12.75" customHeight="1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ht="12.75" customHeight="1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ht="12.75" customHeight="1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ht="12.75" customHeight="1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ht="12.75" customHeight="1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ht="12.75" customHeight="1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ht="12.75" customHeight="1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ht="12.75" customHeight="1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ht="12.75" customHeight="1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ht="12.75" customHeight="1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ht="12.75" customHeight="1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ht="12.75" customHeight="1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ht="12.75" customHeight="1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ht="12.75" customHeight="1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ht="12.75" customHeight="1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ht="12.75" customHeight="1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ht="12.75" customHeight="1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ht="12.75" customHeight="1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ht="12.75" customHeight="1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ht="12.75" customHeight="1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ht="12.75" customHeight="1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ht="12.75" customHeight="1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ht="12.75" customHeight="1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ht="12.75" customHeight="1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ht="12.75" customHeight="1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ht="12.75" customHeight="1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ht="12.75" customHeight="1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ht="12.75" customHeight="1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ht="12.75" customHeight="1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ht="12.75" customHeight="1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ht="12.75" customHeight="1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ht="12.75" customHeight="1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ht="12.75" customHeight="1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ht="12.75" customHeight="1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ht="12.75" customHeight="1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ht="12.75" customHeight="1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ht="12.75" customHeight="1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ht="12.75" customHeight="1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ht="12.75" customHeight="1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ht="12.75" customHeight="1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ht="12.75" customHeight="1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ht="12.75" customHeight="1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ht="12.75" customHeight="1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ht="12.75" customHeight="1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ht="12.75" customHeight="1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ht="12.75" customHeight="1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ht="12.75" customHeight="1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ht="12.75" customHeight="1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ht="12.75" customHeight="1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ht="12.75" customHeight="1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ht="12.75" customHeight="1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ht="12.75" customHeight="1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ht="12.75" customHeight="1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ht="12.75" customHeight="1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ht="12.75" customHeight="1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ht="12.75" customHeight="1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ht="12.75" customHeight="1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ht="12.75" customHeight="1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ht="12.75" customHeight="1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ht="12.75" customHeight="1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ht="12.75" customHeight="1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ht="12.75" customHeight="1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ht="12.75" customHeight="1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ht="12.75" customHeight="1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ht="12.75" customHeight="1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ht="12.75" customHeight="1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ht="12.75" customHeight="1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ht="12.75" customHeight="1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ht="12.75" customHeight="1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ht="12.75" customHeight="1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ht="12.75" customHeight="1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ht="12.75" customHeight="1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ht="12.75" customHeight="1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ht="12.75" customHeight="1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ht="12.75" customHeight="1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ht="12.75" customHeight="1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ht="12.75" customHeight="1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ht="12.75" customHeight="1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ht="12.75" customHeight="1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ht="12.75" customHeight="1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ht="12.75" customHeight="1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ht="12.75" customHeight="1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ht="12.75" customHeight="1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ht="12.75" customHeight="1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ht="12.75" customHeight="1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ht="12.75" customHeight="1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ht="12.75" customHeight="1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ht="12.75" customHeight="1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ht="12.75" customHeight="1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ht="12.75" customHeight="1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ht="12.75" customHeight="1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ht="12.75" customHeight="1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ht="12.75" customHeight="1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ht="12.75" customHeight="1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ht="12.75" customHeight="1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ht="12.75" customHeight="1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ht="12.75" customHeight="1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ht="12.75" customHeight="1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ht="12.75" customHeight="1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ht="12.75" customHeight="1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ht="12.75" customHeight="1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ht="12.75" customHeight="1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ht="12.75" customHeight="1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ht="12.75" customHeight="1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ht="12.75" customHeight="1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ht="12.75" customHeight="1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ht="12.75" customHeight="1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ht="12.75" customHeight="1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ht="12.75" customHeight="1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ht="12.75" customHeight="1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ht="12.75" customHeight="1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ht="12.75" customHeight="1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ht="12.75" customHeight="1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ht="12.75" customHeight="1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ht="12.75" customHeight="1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ht="12.75" customHeight="1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ht="12.75" customHeight="1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ht="12.75" customHeight="1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ht="12.75" customHeight="1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ht="12.75" customHeight="1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ht="12.75" customHeight="1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ht="12.75" customHeight="1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ht="12.75" customHeight="1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ht="12.75" customHeight="1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ht="12.75" customHeight="1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ht="12.75" customHeight="1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ht="12.75" customHeight="1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ht="12.75" customHeight="1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ht="12.75" customHeight="1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ht="12.75" customHeight="1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ht="12.75" customHeight="1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ht="12.75" customHeight="1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ht="12.75" customHeight="1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ht="12.75" customHeight="1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ht="12.75" customHeight="1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ht="12.75" customHeight="1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ht="12.75" customHeight="1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ht="12.75" customHeight="1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ht="12.75" customHeight="1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ht="12.75" customHeight="1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ht="12.75" customHeight="1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ht="12.75" customHeight="1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ht="12.75" customHeight="1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ht="12.75" customHeight="1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ht="12.75" customHeight="1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ht="12.75" customHeight="1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ht="12.75" customHeight="1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ht="12.75" customHeight="1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ht="12.75" customHeight="1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ht="12.75" customHeight="1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ht="12.75" customHeight="1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ht="12.75" customHeight="1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ht="12.75" customHeight="1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ht="12.75" customHeight="1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ht="12.75" customHeight="1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ht="12.75" customHeight="1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ht="12.75" customHeight="1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ht="12.75" customHeight="1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ht="12.75" customHeight="1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ht="12.75" customHeight="1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ht="12.75" customHeight="1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ht="12.75" customHeight="1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ht="12.75" customHeight="1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ht="12.75" customHeight="1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ht="12.75" customHeight="1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ht="12.75" customHeight="1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ht="12.75" customHeight="1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ht="12.75" customHeight="1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ht="12.75" customHeight="1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ht="12.75" customHeight="1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ht="12.75" customHeight="1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ht="12.75" customHeight="1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ht="12.75" customHeight="1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ht="12.75" customHeight="1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ht="12.75" customHeight="1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ht="12.75" customHeight="1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ht="12.75" customHeight="1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ht="12.75" customHeight="1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ht="12.75" customHeight="1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ht="12.75" customHeight="1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ht="12.75" customHeight="1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ht="12.75" customHeight="1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ht="12.75" customHeight="1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ht="12.75" customHeight="1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ht="12.75" customHeight="1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ht="12.75" customHeight="1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ht="12.75" customHeight="1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ht="12.75" customHeight="1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ht="12.75" customHeight="1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ht="12.75" customHeight="1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ht="12.75" customHeight="1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ht="12.75" customHeight="1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ht="12.75" customHeight="1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ht="12.75" customHeight="1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ht="12.75" customHeight="1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ht="12.75" customHeight="1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ht="12.75" customHeight="1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ht="12.75" customHeight="1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ht="12.75" customHeight="1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ht="12.75" customHeight="1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ht="12.75" customHeight="1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ht="12.75" customHeight="1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ht="12.75" customHeight="1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ht="12.75" customHeight="1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ht="12.75" customHeight="1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ht="12.75" customHeight="1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ht="12.75" customHeight="1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ht="12.75" customHeight="1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ht="12.75" customHeight="1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ht="12.75" customHeight="1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ht="12.75" customHeight="1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ht="12.75" customHeight="1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ht="12.75" customHeight="1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ht="12.75" customHeight="1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ht="12.75" customHeight="1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ht="12.75" customHeight="1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ht="12.75" customHeight="1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ht="12.75" customHeight="1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ht="12.75" customHeight="1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ht="12.75" customHeight="1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ht="12.75" customHeight="1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ht="12.75" customHeight="1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ht="12.75" customHeight="1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ht="12.75" customHeight="1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ht="12.75" customHeight="1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ht="12.75" customHeight="1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ht="12.75" customHeight="1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ht="12.75" customHeight="1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ht="12.75" customHeight="1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ht="12.75" customHeight="1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ht="12.75" customHeight="1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ht="12.75" customHeight="1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ht="12.75" customHeight="1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ht="12.75" customHeight="1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ht="12.75" customHeight="1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ht="12.75" customHeight="1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ht="12.75" customHeight="1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ht="12.75" customHeight="1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ht="12.75" customHeight="1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ht="12.75" customHeight="1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ht="12.75" customHeight="1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ht="12.75" customHeight="1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ht="12.75" customHeight="1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ht="12.75" customHeight="1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ht="12.75" customHeight="1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ht="12.75" customHeight="1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ht="12.75" customHeight="1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ht="12.75" customHeight="1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ht="12.75" customHeight="1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ht="12.75" customHeight="1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ht="12.75" customHeight="1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ht="12.75" customHeight="1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ht="12.75" customHeight="1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ht="12.75" customHeight="1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ht="12.75" customHeight="1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ht="12.75" customHeight="1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ht="12.75" customHeight="1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ht="12.75" customHeight="1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ht="12.75" customHeight="1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ht="12.75" customHeight="1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ht="12.75" customHeight="1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ht="12.75" customHeight="1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ht="12.75" customHeight="1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ht="12.75" customHeight="1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ht="12.75" customHeight="1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ht="12.75" customHeight="1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ht="12.75" customHeight="1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ht="12.75" customHeight="1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ht="12.75" customHeight="1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ht="12.75" customHeight="1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ht="12.75" customHeight="1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ht="12.75" customHeight="1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ht="12.75" customHeight="1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ht="12.75" customHeight="1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ht="12.75" customHeight="1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ht="12.75" customHeight="1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ht="12.75" customHeight="1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ht="12.75" customHeight="1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ht="12.75" customHeight="1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ht="12.75" customHeight="1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ht="12.75" customHeight="1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ht="12.75" customHeight="1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ht="12.75" customHeight="1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ht="12.75" customHeight="1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ht="12.75" customHeight="1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ht="12.75" customHeight="1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ht="12.75" customHeight="1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ht="12.75" customHeight="1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ht="12.75" customHeight="1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ht="12.75" customHeight="1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ht="12.75" customHeight="1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ht="12.75" customHeight="1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ht="12.75" customHeight="1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ht="12.75" customHeight="1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ht="12.75" customHeight="1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ht="12.75" customHeight="1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ht="12.75" customHeight="1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ht="12.75" customHeight="1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ht="12.75" customHeight="1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ht="12.75" customHeight="1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ht="12.75" customHeight="1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ht="12.75" customHeight="1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ht="12.75" customHeight="1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ht="12.75" customHeight="1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ht="12.75" customHeight="1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ht="12.75" customHeight="1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ht="12.75" customHeight="1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ht="12.75" customHeight="1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ht="12.75" customHeight="1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ht="12.75" customHeight="1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ht="12.75" customHeight="1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ht="12.75" customHeight="1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ht="12.75" customHeight="1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ht="12.75" customHeight="1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ht="12.75" customHeight="1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ht="12.75" customHeight="1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ht="12.75" customHeight="1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ht="12.75" customHeight="1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ht="12.75" customHeight="1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ht="12.75" customHeight="1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ht="12.75" customHeight="1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ht="12.75" customHeight="1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ht="12.75" customHeight="1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ht="12.75" customHeight="1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ht="12.75" customHeight="1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ht="12.75" customHeight="1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ht="12.75" customHeight="1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ht="12.75" customHeight="1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ht="12.75" customHeight="1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ht="12.75" customHeight="1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ht="12.75" customHeight="1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ht="12.75" customHeight="1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ht="12.75" customHeight="1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ht="12.75" customHeight="1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ht="12.75" customHeight="1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ht="12.75" customHeight="1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ht="12.75" customHeight="1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ht="12.75" customHeight="1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ht="12.75" customHeight="1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ht="12.75" customHeight="1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ht="12.75" customHeight="1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ht="12.75" customHeight="1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ht="12.75" customHeight="1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ht="12.75" customHeight="1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ht="12.75" customHeight="1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ht="12.75" customHeight="1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ht="12.75" customHeight="1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ht="12.75" customHeight="1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ht="12.75" customHeight="1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ht="12.75" customHeight="1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ht="12.75" customHeight="1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ht="12.75" customHeight="1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ht="12.75" customHeight="1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ht="12.75" customHeight="1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ht="12.75" customHeight="1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ht="12.75" customHeight="1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ht="12.75" customHeight="1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ht="12.75" customHeight="1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ht="12.75" customHeight="1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ht="12.75" customHeight="1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ht="12.75" customHeight="1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ht="12.75" customHeight="1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ht="12.75" customHeight="1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ht="12.75" customHeight="1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ht="12.75" customHeight="1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ht="12.75" customHeight="1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ht="12.75" customHeight="1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ht="12.75" customHeight="1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ht="12.75" customHeight="1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ht="12.75" customHeight="1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ht="12.75" customHeight="1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ht="12.75" customHeight="1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ht="12.75" customHeight="1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ht="12.75" customHeight="1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ht="12.75" customHeight="1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ht="12.75" customHeight="1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ht="12.75" customHeight="1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ht="12.75" customHeight="1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ht="12.75" customHeight="1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ht="12.75" customHeight="1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ht="12.75" customHeight="1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ht="12.75" customHeight="1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ht="12.75" customHeight="1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ht="12.75" customHeight="1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ht="12.75" customHeight="1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ht="12.75" customHeight="1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ht="12.75" customHeight="1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ht="12.75" customHeight="1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ht="12.75" customHeight="1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ht="12.75" customHeight="1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ht="12.75" customHeight="1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ht="12.75" customHeight="1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ht="12.75" customHeight="1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ht="12.75" customHeight="1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ht="12.75" customHeight="1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ht="12.75" customHeight="1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ht="12.75" customHeight="1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ht="12.75" customHeight="1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ht="12.75" customHeight="1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ht="12.75" customHeight="1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ht="12.75" customHeight="1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ht="12.75" customHeight="1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ht="12.75" customHeight="1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ht="12.75" customHeight="1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ht="12.75" customHeight="1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ht="12.75" customHeight="1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ht="12.75" customHeight="1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ht="12.75" customHeight="1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ht="12.75" customHeight="1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ht="12.75" customHeight="1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ht="12.75" customHeight="1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ht="12.75" customHeight="1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ht="12.75" customHeight="1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ht="12.75" customHeight="1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ht="12.75" customHeight="1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ht="12.75" customHeight="1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ht="12.75" customHeight="1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ht="12.75" customHeight="1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ht="12.75" customHeight="1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ht="12.75" customHeight="1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ht="12.75" customHeight="1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ht="12.75" customHeight="1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ht="12.75" customHeight="1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ht="12.75" customHeight="1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ht="12.75" customHeight="1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ht="12.75" customHeight="1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ht="12.75" customHeight="1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ht="12.75" customHeight="1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ht="12.75" customHeight="1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ht="12.75" customHeight="1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ht="12.75" customHeight="1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ht="12.75" customHeight="1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ht="12.75" customHeight="1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ht="12.75" customHeight="1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ht="12.75" customHeight="1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ht="12.75" customHeight="1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ht="12.75" customHeight="1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ht="12.75" customHeight="1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ht="12.75" customHeight="1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ht="12.75" customHeight="1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ht="12.75" customHeight="1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ht="12.75" customHeight="1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ht="12.75" customHeight="1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ht="12.75" customHeight="1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ht="12.75" customHeight="1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ht="12.75" customHeight="1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ht="12.75" customHeight="1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ht="12.75" customHeight="1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ht="12.75" customHeight="1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ht="12.75" customHeight="1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ht="12.75" customHeight="1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ht="12.75" customHeight="1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ht="12.75" customHeight="1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ht="12.75" customHeight="1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ht="12.75" customHeight="1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ht="12.75" customHeight="1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ht="12.75" customHeight="1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ht="12.75" customHeight="1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ht="12.75" customHeight="1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ht="12.75" customHeight="1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ht="12.75" customHeight="1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ht="12.75" customHeight="1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ht="12.75" customHeight="1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ht="12.75" customHeight="1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ht="12.75" customHeight="1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ht="12.75" customHeight="1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ht="12.75" customHeight="1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ht="12.75" customHeight="1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ht="12.75" customHeight="1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ht="12.75" customHeight="1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ht="12.75" customHeight="1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ht="12.75" customHeight="1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ht="12.75" customHeight="1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ht="12.75" customHeight="1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ht="12.75" customHeight="1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  <row r="985" ht="12.75" customHeight="1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</row>
    <row r="986" ht="12.75" customHeight="1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</row>
    <row r="987" ht="12.75" customHeight="1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</row>
    <row r="988" ht="12.75" customHeight="1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</row>
    <row r="989" ht="12.75" customHeight="1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</row>
    <row r="990" ht="12.75" customHeight="1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</row>
    <row r="991" ht="12.75" customHeight="1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</row>
    <row r="992" ht="12.75" customHeight="1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</row>
    <row r="993" ht="12.75" customHeight="1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</row>
    <row r="994" ht="12.75" customHeight="1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</row>
    <row r="995" ht="12.75" customHeight="1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</row>
    <row r="996" ht="12.75" customHeight="1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</row>
    <row r="997" ht="12.75" customHeight="1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</row>
    <row r="998" ht="12.75" customHeight="1">
      <c r="A998" s="51"/>
      <c r="B998" s="51"/>
      <c r="C998" s="51"/>
      <c r="D998" s="51"/>
      <c r="E998" s="51"/>
      <c r="F998" s="51"/>
      <c r="G998" s="51"/>
      <c r="H998" s="51"/>
      <c r="I998" s="51"/>
      <c r="J998" s="51"/>
      <c r="K998" s="51"/>
      <c r="L998" s="51"/>
      <c r="M998" s="51"/>
      <c r="N998" s="51"/>
      <c r="O998" s="51"/>
      <c r="P998" s="51"/>
      <c r="Q998" s="51"/>
      <c r="R998" s="51"/>
      <c r="S998" s="51"/>
      <c r="T998" s="51"/>
      <c r="U998" s="51"/>
      <c r="V998" s="51"/>
      <c r="W998" s="51"/>
      <c r="X998" s="51"/>
      <c r="Y998" s="51"/>
      <c r="Z998" s="51"/>
    </row>
    <row r="999" ht="12.75" customHeight="1">
      <c r="A999" s="51"/>
      <c r="B999" s="51"/>
      <c r="C999" s="51"/>
      <c r="D999" s="51"/>
      <c r="E999" s="51"/>
      <c r="F999" s="51"/>
      <c r="G999" s="51"/>
      <c r="H999" s="51"/>
      <c r="I999" s="51"/>
      <c r="J999" s="51"/>
      <c r="K999" s="51"/>
      <c r="L999" s="51"/>
      <c r="M999" s="51"/>
      <c r="N999" s="51"/>
      <c r="O999" s="51"/>
      <c r="P999" s="51"/>
      <c r="Q999" s="51"/>
      <c r="R999" s="51"/>
      <c r="S999" s="51"/>
      <c r="T999" s="51"/>
      <c r="U999" s="51"/>
      <c r="V999" s="51"/>
      <c r="W999" s="51"/>
      <c r="X999" s="51"/>
      <c r="Y999" s="51"/>
      <c r="Z999" s="51"/>
    </row>
    <row r="1000" ht="12.75" customHeight="1">
      <c r="A1000" s="51"/>
      <c r="B1000" s="51"/>
      <c r="C1000" s="51"/>
      <c r="D1000" s="51"/>
      <c r="E1000" s="51"/>
      <c r="F1000" s="51"/>
      <c r="G1000" s="51"/>
      <c r="H1000" s="51"/>
      <c r="I1000" s="51"/>
      <c r="J1000" s="51"/>
      <c r="K1000" s="51"/>
      <c r="L1000" s="51"/>
      <c r="M1000" s="51"/>
      <c r="N1000" s="51"/>
      <c r="O1000" s="51"/>
      <c r="P1000" s="51"/>
      <c r="Q1000" s="51"/>
      <c r="R1000" s="51"/>
      <c r="S1000" s="51"/>
      <c r="T1000" s="51"/>
      <c r="U1000" s="51"/>
      <c r="V1000" s="51"/>
      <c r="W1000" s="51"/>
      <c r="X1000" s="51"/>
      <c r="Y1000" s="51"/>
      <c r="Z1000" s="51"/>
    </row>
  </sheetData>
  <mergeCells count="10">
    <mergeCell ref="B21:C21"/>
    <mergeCell ref="B22:C22"/>
    <mergeCell ref="B24:C24"/>
    <mergeCell ref="B13:C13"/>
    <mergeCell ref="B14:C14"/>
    <mergeCell ref="B15:C15"/>
    <mergeCell ref="B17:D17"/>
    <mergeCell ref="B18:C18"/>
    <mergeCell ref="B19:C19"/>
    <mergeCell ref="B20:C20"/>
  </mergeCells>
  <dataValidations>
    <dataValidation type="list" allowBlank="1" showErrorMessage="1" sqref="C33">
      <formula1>"Conservador,Moderado,Agressivo"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25"/>
    <col customWidth="1" min="2" max="2" width="13.13"/>
    <col customWidth="1" min="3" max="3" width="20.25"/>
    <col customWidth="1" min="4" max="6" width="9.88"/>
    <col customWidth="1" min="7" max="7" width="17.63"/>
    <col customWidth="1" min="8" max="8" width="9.88"/>
    <col customWidth="1" min="9" max="26" width="14.38"/>
  </cols>
  <sheetData>
    <row r="1" ht="14.25" customHeight="1"/>
    <row r="2" ht="14.25" customHeight="1">
      <c r="A2" s="52" t="s">
        <v>29</v>
      </c>
      <c r="B2" s="52" t="s">
        <v>17</v>
      </c>
      <c r="C2" s="53" t="s">
        <v>20</v>
      </c>
      <c r="D2" s="53" t="s">
        <v>30</v>
      </c>
    </row>
    <row r="3" ht="14.25" customHeight="1">
      <c r="A3" s="54" t="str">
        <f t="shared" ref="A3:A20" si="1">B3&amp;"-"&amp;C3</f>
        <v>Conservador-PAPEL</v>
      </c>
      <c r="B3" s="54" t="s">
        <v>31</v>
      </c>
      <c r="C3" s="55" t="s">
        <v>23</v>
      </c>
      <c r="D3" s="56">
        <v>0.3</v>
      </c>
      <c r="H3" s="54" t="s">
        <v>30</v>
      </c>
    </row>
    <row r="4" ht="14.25" customHeight="1">
      <c r="A4" s="54" t="str">
        <f t="shared" si="1"/>
        <v>Conservador-TIJOLO</v>
      </c>
      <c r="B4" s="54" t="s">
        <v>31</v>
      </c>
      <c r="C4" s="55" t="s">
        <v>24</v>
      </c>
      <c r="D4" s="56">
        <v>0.5</v>
      </c>
      <c r="G4" s="57" t="s">
        <v>32</v>
      </c>
      <c r="H4" s="58">
        <f>VLOOKUP(G4,$A:$D,4,FALSE)</f>
        <v>0.32</v>
      </c>
    </row>
    <row r="5" ht="14.25" customHeight="1">
      <c r="A5" s="54" t="str">
        <f t="shared" si="1"/>
        <v>Conservador-HÍBRIDOS</v>
      </c>
      <c r="B5" s="54" t="s">
        <v>31</v>
      </c>
      <c r="C5" s="55" t="s">
        <v>25</v>
      </c>
      <c r="D5" s="56">
        <v>0.1</v>
      </c>
    </row>
    <row r="6" ht="14.25" customHeight="1">
      <c r="A6" s="54" t="str">
        <f t="shared" si="1"/>
        <v>Conservador-FOFs</v>
      </c>
      <c r="B6" s="54" t="s">
        <v>31</v>
      </c>
      <c r="C6" s="55" t="s">
        <v>26</v>
      </c>
      <c r="D6" s="56">
        <v>0.1</v>
      </c>
    </row>
    <row r="7" ht="14.25" customHeight="1">
      <c r="A7" s="54" t="str">
        <f t="shared" si="1"/>
        <v>Conservador-DESENVOLVIMENTO</v>
      </c>
      <c r="B7" s="54" t="s">
        <v>31</v>
      </c>
      <c r="C7" s="55" t="s">
        <v>27</v>
      </c>
      <c r="D7" s="56">
        <v>0.0</v>
      </c>
    </row>
    <row r="8" ht="14.25" customHeight="1">
      <c r="A8" s="59" t="str">
        <f t="shared" si="1"/>
        <v>Conservador-HOTELARIAS</v>
      </c>
      <c r="B8" s="59" t="s">
        <v>31</v>
      </c>
      <c r="C8" s="60" t="s">
        <v>28</v>
      </c>
      <c r="D8" s="61">
        <v>0.0</v>
      </c>
    </row>
    <row r="9" ht="14.25" customHeight="1">
      <c r="A9" s="54" t="str">
        <f t="shared" si="1"/>
        <v>Moderado-PAPEL</v>
      </c>
      <c r="B9" s="54" t="s">
        <v>18</v>
      </c>
      <c r="C9" s="55" t="s">
        <v>23</v>
      </c>
      <c r="D9" s="56">
        <v>0.32</v>
      </c>
    </row>
    <row r="10" ht="14.25" customHeight="1">
      <c r="A10" s="62" t="str">
        <f t="shared" si="1"/>
        <v>Moderado-TIJOLO</v>
      </c>
      <c r="B10" s="62" t="s">
        <v>18</v>
      </c>
      <c r="C10" s="63" t="s">
        <v>24</v>
      </c>
      <c r="D10" s="64">
        <v>0.35</v>
      </c>
    </row>
    <row r="11" ht="14.25" customHeight="1">
      <c r="A11" s="54" t="str">
        <f t="shared" si="1"/>
        <v>Moderado-HÍBRIDOS</v>
      </c>
      <c r="B11" s="54" t="s">
        <v>18</v>
      </c>
      <c r="C11" s="55" t="s">
        <v>25</v>
      </c>
      <c r="D11" s="56">
        <v>0.08</v>
      </c>
    </row>
    <row r="12" ht="14.25" customHeight="1">
      <c r="A12" s="54" t="str">
        <f t="shared" si="1"/>
        <v>Moderado-FOFs</v>
      </c>
      <c r="B12" s="54" t="s">
        <v>18</v>
      </c>
      <c r="C12" s="55" t="s">
        <v>26</v>
      </c>
      <c r="D12" s="56">
        <v>0.05</v>
      </c>
    </row>
    <row r="13" ht="14.25" customHeight="1">
      <c r="A13" s="54" t="str">
        <f t="shared" si="1"/>
        <v>Moderado-DESENVOLVIMENTO</v>
      </c>
      <c r="B13" s="54" t="s">
        <v>18</v>
      </c>
      <c r="C13" s="55" t="s">
        <v>27</v>
      </c>
      <c r="D13" s="56">
        <v>0.1</v>
      </c>
    </row>
    <row r="14" ht="14.25" customHeight="1">
      <c r="A14" s="59" t="str">
        <f t="shared" si="1"/>
        <v>Moderado-HOTELARIAS</v>
      </c>
      <c r="B14" s="59" t="s">
        <v>18</v>
      </c>
      <c r="C14" s="60" t="s">
        <v>28</v>
      </c>
      <c r="D14" s="61">
        <v>0.1</v>
      </c>
    </row>
    <row r="15" ht="14.25" customHeight="1">
      <c r="A15" s="54" t="str">
        <f t="shared" si="1"/>
        <v>Agressivo-PAPEL</v>
      </c>
      <c r="B15" s="54" t="s">
        <v>33</v>
      </c>
      <c r="C15" s="55" t="s">
        <v>23</v>
      </c>
      <c r="D15" s="56">
        <v>0.5</v>
      </c>
    </row>
    <row r="16" ht="14.25" customHeight="1">
      <c r="A16" s="54" t="str">
        <f t="shared" si="1"/>
        <v>Agressivo-TIJOLO</v>
      </c>
      <c r="B16" s="54" t="s">
        <v>33</v>
      </c>
      <c r="C16" s="55" t="s">
        <v>24</v>
      </c>
      <c r="D16" s="56">
        <v>0.1</v>
      </c>
    </row>
    <row r="17" ht="14.25" customHeight="1">
      <c r="A17" s="54" t="str">
        <f t="shared" si="1"/>
        <v>Agressivo-HÍBRIDOS</v>
      </c>
      <c r="B17" s="54" t="s">
        <v>33</v>
      </c>
      <c r="C17" s="55" t="s">
        <v>25</v>
      </c>
      <c r="D17" s="56">
        <v>0.05</v>
      </c>
    </row>
    <row r="18" ht="14.25" customHeight="1">
      <c r="A18" s="54" t="str">
        <f t="shared" si="1"/>
        <v>Agressivo-FOFs</v>
      </c>
      <c r="B18" s="54" t="s">
        <v>33</v>
      </c>
      <c r="C18" s="55" t="s">
        <v>26</v>
      </c>
      <c r="D18" s="56">
        <v>0.05</v>
      </c>
    </row>
    <row r="19" ht="14.25" customHeight="1">
      <c r="A19" s="54" t="str">
        <f t="shared" si="1"/>
        <v>Agressivo-DESENVOLVIMENTO</v>
      </c>
      <c r="B19" s="54" t="s">
        <v>33</v>
      </c>
      <c r="C19" s="55" t="s">
        <v>27</v>
      </c>
      <c r="D19" s="56">
        <v>0.2</v>
      </c>
    </row>
    <row r="20" ht="14.25" customHeight="1">
      <c r="A20" s="54" t="str">
        <f t="shared" si="1"/>
        <v>Agressivo-HOTELARIAS</v>
      </c>
      <c r="B20" s="54" t="s">
        <v>33</v>
      </c>
      <c r="C20" s="55" t="s">
        <v>28</v>
      </c>
      <c r="D20" s="56">
        <v>0.1</v>
      </c>
    </row>
    <row r="21" ht="14.25" customHeight="1">
      <c r="D21" s="55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